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13_ncr:1_{938DCB36-5AEB-974B-9711-437AF801036A}" xr6:coauthVersionLast="47" xr6:coauthVersionMax="47" xr10:uidLastSave="{00000000-0000-0000-0000-000000000000}"/>
  <bookViews>
    <workbookView xWindow="4140" yWindow="500" windowWidth="27960" windowHeight="17500" activeTab="1" xr2:uid="{B3CD939F-5EFD-4AF4-9EF6-5DBC90254FAF}"/>
  </bookViews>
  <sheets>
    <sheet name="Issues" sheetId="2" r:id="rId1"/>
    <sheet name="Challenge" sheetId="1" r:id="rId2"/>
  </sheets>
  <definedNames>
    <definedName name="ExternalData_1" localSheetId="0" hidden="1">Issues!$A$1:$E$26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" i="1" l="1"/>
  <c r="L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CF5B30-137D-A24F-9766-E261F65E9CF3}" keepAlive="1" name="Query - Issues" description="Connection to the 'Issues' query in the workbook." type="5" refreshedVersion="8" background="1" saveData="1">
    <dbPr connection="Provider=Microsoft.Mashup.OleDb.1;Data Source=$Workbook$;Location=Issues;Extended Properties=&quot;&quot;" command="SELECT * FROM [Issues]"/>
  </connection>
</connections>
</file>

<file path=xl/sharedStrings.xml><?xml version="1.0" encoding="utf-8"?>
<sst xmlns="http://schemas.openxmlformats.org/spreadsheetml/2006/main" count="130" uniqueCount="60">
  <si>
    <t>Name &amp; Date</t>
  </si>
  <si>
    <t>Level</t>
  </si>
  <si>
    <t>Josh - 13/05/2020</t>
  </si>
  <si>
    <t>Days</t>
  </si>
  <si>
    <t>Area</t>
  </si>
  <si>
    <t>NY</t>
  </si>
  <si>
    <t>LO</t>
  </si>
  <si>
    <t>SW</t>
  </si>
  <si>
    <t>CA</t>
  </si>
  <si>
    <t>Sally - 21/05/2020</t>
  </si>
  <si>
    <t>Louise - 16/05/2020</t>
  </si>
  <si>
    <t>Beth - 25/05/2020</t>
  </si>
  <si>
    <t>Josh - 11/05/2020</t>
  </si>
  <si>
    <t>Carl - 21/05/2020</t>
  </si>
  <si>
    <t>Sally - 30/05/2020</t>
  </si>
  <si>
    <t>Sally - 29/05/2020</t>
  </si>
  <si>
    <t>Louise - 29/05/2020</t>
  </si>
  <si>
    <t>Louise - 08/05/2020</t>
  </si>
  <si>
    <t>Beth - 30/05/2020</t>
  </si>
  <si>
    <t>Josh - 05/05/2020</t>
  </si>
  <si>
    <t>Josh - 01/05/2020</t>
  </si>
  <si>
    <t>Sally - 13/05/2020</t>
  </si>
  <si>
    <t>Beth - 19/05/2020</t>
  </si>
  <si>
    <t>Sally - 02/05/2020</t>
  </si>
  <si>
    <t>Carl - 18/05/2020</t>
  </si>
  <si>
    <t>DE</t>
  </si>
  <si>
    <t>Josh - 23/05/2020</t>
  </si>
  <si>
    <t>Carl - 17/05/2020</t>
  </si>
  <si>
    <t>Sally - 20/05/2020</t>
  </si>
  <si>
    <t>Carl - 30/05/2020</t>
  </si>
  <si>
    <t>Average</t>
  </si>
  <si>
    <t>JOsh - 29/05/2020</t>
  </si>
  <si>
    <t>beth - 28/05/2020</t>
  </si>
  <si>
    <t>Test Data</t>
  </si>
  <si>
    <t>No of Level 1 &amp; 2 with responses &lt; 5 days</t>
  </si>
  <si>
    <t>Average Response in days</t>
  </si>
  <si>
    <t>Name</t>
  </si>
  <si>
    <t>Date</t>
  </si>
  <si>
    <t>Josh</t>
  </si>
  <si>
    <t>13/05/2020</t>
  </si>
  <si>
    <t>Sally</t>
  </si>
  <si>
    <t>21/05/2020</t>
  </si>
  <si>
    <t>Beth</t>
  </si>
  <si>
    <t>28/05/2020</t>
  </si>
  <si>
    <t>Louise</t>
  </si>
  <si>
    <t>16/05/2020</t>
  </si>
  <si>
    <t>25/05/2020</t>
  </si>
  <si>
    <t>11/05/2020</t>
  </si>
  <si>
    <t>Carl</t>
  </si>
  <si>
    <t>30/05/2020</t>
  </si>
  <si>
    <t>29/05/2020</t>
  </si>
  <si>
    <t>08/05/2020</t>
  </si>
  <si>
    <t>05/05/2020</t>
  </si>
  <si>
    <t>01/05/2020</t>
  </si>
  <si>
    <t>19/05/2020</t>
  </si>
  <si>
    <t>02/05/2020</t>
  </si>
  <si>
    <t>18/05/2020</t>
  </si>
  <si>
    <t>23/05/2020</t>
  </si>
  <si>
    <t>17/05/2020</t>
  </si>
  <si>
    <t>20/05/2020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</si>
</sst>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3" borderId="1" xfId="0" applyFont="1" applyFill="1" applyBorder="1"/>
    <xf numFmtId="0" fontId="0" fillId="0" borderId="0" xfId="0" applyNumberFormat="1"/>
    <xf numFmtId="164" fontId="1" fillId="2" borderId="1" xfId="0" applyNumberFormat="1" applyFont="1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092EE0-D67A-7142-884B-9C0F48E822E9}" autoFormatId="16" applyNumberFormats="0" applyBorderFormats="0" applyFontFormats="0" applyPatternFormats="0" applyAlignmentFormats="0" applyWidthHeightFormats="0">
  <queryTableRefresh nextId="6">
    <queryTableFields count="5">
      <queryTableField id="1" name="Area" tableColumnId="1"/>
      <queryTableField id="2" name="Name" tableColumnId="2"/>
      <queryTableField id="3" name="Date" tableColumnId="3"/>
      <queryTableField id="4" name="Level" tableColumnId="4"/>
      <queryTableField id="5" name="Day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1344B-D67A-C741-A76D-3288B49CCB82}" name="Issues_1" displayName="Issues_1" ref="A1:E26" tableType="queryTable" totalsRowShown="0">
  <autoFilter ref="A1:E26" xr:uid="{5EB1344B-D67A-C741-A76D-3288B49CCB82}"/>
  <tableColumns count="5">
    <tableColumn id="1" xr3:uid="{4B4116A1-0675-564A-8F5A-B2429DB78EC2}" uniqueName="1" name="Area" queryTableFieldId="1" dataDxfId="2"/>
    <tableColumn id="2" xr3:uid="{B914A511-1BEC-F64E-A376-A5F0FA820D90}" uniqueName="2" name="Name" queryTableFieldId="2" dataDxfId="1"/>
    <tableColumn id="3" xr3:uid="{13FC6793-3B91-EF47-B22B-83829024CFC8}" uniqueName="3" name="Date" queryTableFieldId="3" dataDxfId="0"/>
    <tableColumn id="4" xr3:uid="{5C45F86B-066A-914A-B31E-FD411DEDAC60}" uniqueName="4" name="Level" queryTableFieldId="4"/>
    <tableColumn id="5" xr3:uid="{A36C5B19-8EB8-5447-B9CB-6358EC76E5E4}" uniqueName="5" name="Day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55E95D-59E7-EC47-9C37-0D4625B589B6}" name="Issues" displayName="Issues" ref="A1:D40" totalsRowShown="0" headerRowDxfId="3">
  <autoFilter ref="A1:D40" xr:uid="{3955E95D-59E7-EC47-9C37-0D4625B589B6}">
    <filterColumn colId="0" hiddenButton="1"/>
    <filterColumn colId="1" hiddenButton="1"/>
    <filterColumn colId="2" hiddenButton="1"/>
    <filterColumn colId="3" hiddenButton="1"/>
  </autoFilter>
  <tableColumns count="4">
    <tableColumn id="1" xr3:uid="{8525274D-451B-C848-A49C-2C3290B90C0F}" name="Area"/>
    <tableColumn id="2" xr3:uid="{F2C0D07C-10F9-DF42-BD37-A4E62BB54F2B}" name="Name &amp; Date"/>
    <tableColumn id="3" xr3:uid="{0E45CF50-E924-FF45-AB53-26955E534DC9}" name="Level"/>
    <tableColumn id="4" xr3:uid="{312D5602-C4C8-7641-9AB8-0D558A15E173}" name="Day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2F02-A061-524B-AA91-4A8D71EEED03}">
  <dimension ref="A1:E26"/>
  <sheetViews>
    <sheetView workbookViewId="0">
      <selection activeCell="A20" sqref="A20"/>
    </sheetView>
  </sheetViews>
  <sheetFormatPr baseColWidth="10" defaultRowHeight="15" x14ac:dyDescent="0.2"/>
  <cols>
    <col min="1" max="1" width="7.33203125" bestFit="1" customWidth="1"/>
    <col min="2" max="2" width="8.1640625" bestFit="1" customWidth="1"/>
    <col min="3" max="3" width="10.5" bestFit="1" customWidth="1"/>
    <col min="4" max="4" width="7.83203125" bestFit="1" customWidth="1"/>
    <col min="5" max="5" width="7.1640625" bestFit="1" customWidth="1"/>
  </cols>
  <sheetData>
    <row r="1" spans="1:5" x14ac:dyDescent="0.2">
      <c r="A1" t="s">
        <v>4</v>
      </c>
      <c r="B1" t="s">
        <v>36</v>
      </c>
      <c r="C1" t="s">
        <v>37</v>
      </c>
      <c r="D1" t="s">
        <v>1</v>
      </c>
      <c r="E1" t="s">
        <v>3</v>
      </c>
    </row>
    <row r="2" spans="1:5" x14ac:dyDescent="0.2">
      <c r="A2" s="4" t="s">
        <v>5</v>
      </c>
      <c r="B2" s="4" t="s">
        <v>38</v>
      </c>
      <c r="C2" s="4" t="s">
        <v>39</v>
      </c>
      <c r="D2">
        <v>2</v>
      </c>
      <c r="E2">
        <v>6</v>
      </c>
    </row>
    <row r="3" spans="1:5" x14ac:dyDescent="0.2">
      <c r="A3" s="4" t="s">
        <v>5</v>
      </c>
      <c r="B3" s="4" t="s">
        <v>40</v>
      </c>
      <c r="C3" s="4" t="s">
        <v>41</v>
      </c>
      <c r="D3">
        <v>2</v>
      </c>
      <c r="E3">
        <v>8</v>
      </c>
    </row>
    <row r="4" spans="1:5" x14ac:dyDescent="0.2">
      <c r="A4" s="4" t="s">
        <v>5</v>
      </c>
      <c r="B4" s="4" t="s">
        <v>42</v>
      </c>
      <c r="C4" s="4" t="s">
        <v>43</v>
      </c>
      <c r="D4">
        <v>2</v>
      </c>
      <c r="E4">
        <v>12</v>
      </c>
    </row>
    <row r="5" spans="1:5" x14ac:dyDescent="0.2">
      <c r="A5" s="4" t="s">
        <v>5</v>
      </c>
      <c r="B5" s="4" t="s">
        <v>44</v>
      </c>
      <c r="C5" s="4" t="s">
        <v>45</v>
      </c>
      <c r="D5">
        <v>1</v>
      </c>
      <c r="E5">
        <v>7</v>
      </c>
    </row>
    <row r="6" spans="1:5" x14ac:dyDescent="0.2">
      <c r="A6" s="4" t="s">
        <v>5</v>
      </c>
      <c r="B6" s="4" t="s">
        <v>42</v>
      </c>
      <c r="C6" s="4" t="s">
        <v>46</v>
      </c>
      <c r="D6">
        <v>1</v>
      </c>
      <c r="E6">
        <v>12</v>
      </c>
    </row>
    <row r="7" spans="1:5" x14ac:dyDescent="0.2">
      <c r="A7" s="4" t="s">
        <v>6</v>
      </c>
      <c r="B7" s="4" t="s">
        <v>38</v>
      </c>
      <c r="C7" s="4" t="s">
        <v>47</v>
      </c>
      <c r="D7">
        <v>2</v>
      </c>
      <c r="E7">
        <v>11</v>
      </c>
    </row>
    <row r="8" spans="1:5" x14ac:dyDescent="0.2">
      <c r="A8" s="4" t="s">
        <v>6</v>
      </c>
      <c r="B8" s="4" t="s">
        <v>48</v>
      </c>
      <c r="C8" s="4" t="s">
        <v>41</v>
      </c>
      <c r="D8">
        <v>3</v>
      </c>
      <c r="E8">
        <v>3</v>
      </c>
    </row>
    <row r="9" spans="1:5" x14ac:dyDescent="0.2">
      <c r="A9" s="4" t="s">
        <v>6</v>
      </c>
      <c r="B9" s="4" t="s">
        <v>40</v>
      </c>
      <c r="C9" s="4" t="s">
        <v>49</v>
      </c>
      <c r="D9">
        <v>3</v>
      </c>
      <c r="E9">
        <v>4</v>
      </c>
    </row>
    <row r="10" spans="1:5" x14ac:dyDescent="0.2">
      <c r="A10" s="4" t="s">
        <v>6</v>
      </c>
      <c r="B10" s="4" t="s">
        <v>38</v>
      </c>
      <c r="C10" s="4" t="s">
        <v>50</v>
      </c>
      <c r="D10">
        <v>2</v>
      </c>
      <c r="E10">
        <v>15</v>
      </c>
    </row>
    <row r="11" spans="1:5" x14ac:dyDescent="0.2">
      <c r="A11" s="4" t="s">
        <v>6</v>
      </c>
      <c r="B11" s="4" t="s">
        <v>40</v>
      </c>
      <c r="C11" s="4" t="s">
        <v>50</v>
      </c>
      <c r="D11">
        <v>2</v>
      </c>
      <c r="E11">
        <v>6</v>
      </c>
    </row>
    <row r="12" spans="1:5" x14ac:dyDescent="0.2">
      <c r="A12" s="4" t="s">
        <v>7</v>
      </c>
      <c r="B12" s="4" t="s">
        <v>44</v>
      </c>
      <c r="C12" s="4" t="s">
        <v>50</v>
      </c>
      <c r="D12">
        <v>1</v>
      </c>
      <c r="E12">
        <v>13</v>
      </c>
    </row>
    <row r="13" spans="1:5" x14ac:dyDescent="0.2">
      <c r="A13" s="4" t="s">
        <v>7</v>
      </c>
      <c r="B13" s="4" t="s">
        <v>44</v>
      </c>
      <c r="C13" s="4" t="s">
        <v>51</v>
      </c>
      <c r="D13">
        <v>1</v>
      </c>
      <c r="E13">
        <v>2</v>
      </c>
    </row>
    <row r="14" spans="1:5" x14ac:dyDescent="0.2">
      <c r="A14" s="4" t="s">
        <v>7</v>
      </c>
      <c r="B14" s="4" t="s">
        <v>42</v>
      </c>
      <c r="C14" s="4" t="s">
        <v>49</v>
      </c>
      <c r="D14">
        <v>2</v>
      </c>
      <c r="E14">
        <v>3</v>
      </c>
    </row>
    <row r="15" spans="1:5" x14ac:dyDescent="0.2">
      <c r="A15" s="4" t="s">
        <v>7</v>
      </c>
      <c r="B15" s="4" t="s">
        <v>38</v>
      </c>
      <c r="C15" s="4" t="s">
        <v>52</v>
      </c>
      <c r="D15">
        <v>3</v>
      </c>
      <c r="E15">
        <v>9</v>
      </c>
    </row>
    <row r="16" spans="1:5" x14ac:dyDescent="0.2">
      <c r="A16" s="4" t="s">
        <v>7</v>
      </c>
      <c r="B16" s="4" t="s">
        <v>38</v>
      </c>
      <c r="C16" s="4" t="s">
        <v>53</v>
      </c>
      <c r="D16">
        <v>2</v>
      </c>
      <c r="E16">
        <v>2</v>
      </c>
    </row>
    <row r="17" spans="1:5" x14ac:dyDescent="0.2">
      <c r="A17" s="4" t="s">
        <v>8</v>
      </c>
      <c r="B17" s="4" t="s">
        <v>40</v>
      </c>
      <c r="C17" s="4" t="s">
        <v>39</v>
      </c>
      <c r="D17">
        <v>2</v>
      </c>
      <c r="E17">
        <v>10</v>
      </c>
    </row>
    <row r="18" spans="1:5" x14ac:dyDescent="0.2">
      <c r="A18" s="4" t="s">
        <v>8</v>
      </c>
      <c r="B18" s="4" t="s">
        <v>42</v>
      </c>
      <c r="C18" s="4" t="s">
        <v>54</v>
      </c>
      <c r="D18">
        <v>2</v>
      </c>
      <c r="E18">
        <v>9</v>
      </c>
    </row>
    <row r="19" spans="1:5" x14ac:dyDescent="0.2">
      <c r="A19" s="4" t="s">
        <v>8</v>
      </c>
      <c r="B19" s="4" t="s">
        <v>40</v>
      </c>
      <c r="C19" s="4" t="s">
        <v>55</v>
      </c>
      <c r="D19">
        <v>2</v>
      </c>
      <c r="E19">
        <v>4</v>
      </c>
    </row>
    <row r="20" spans="1:5" x14ac:dyDescent="0.2">
      <c r="A20" s="4" t="s">
        <v>8</v>
      </c>
      <c r="B20" s="4" t="s">
        <v>48</v>
      </c>
      <c r="C20" s="4" t="s">
        <v>56</v>
      </c>
      <c r="D20">
        <v>3</v>
      </c>
      <c r="E20">
        <v>5</v>
      </c>
    </row>
    <row r="21" spans="1:5" x14ac:dyDescent="0.2">
      <c r="A21" s="4" t="s">
        <v>25</v>
      </c>
      <c r="B21" s="4" t="s">
        <v>38</v>
      </c>
      <c r="C21" s="4" t="s">
        <v>57</v>
      </c>
      <c r="D21">
        <v>1</v>
      </c>
      <c r="E21">
        <v>2</v>
      </c>
    </row>
    <row r="22" spans="1:5" x14ac:dyDescent="0.2">
      <c r="A22" s="4" t="s">
        <v>25</v>
      </c>
      <c r="B22" s="4" t="s">
        <v>48</v>
      </c>
      <c r="C22" s="4" t="s">
        <v>58</v>
      </c>
      <c r="D22">
        <v>1</v>
      </c>
      <c r="E22">
        <v>11</v>
      </c>
    </row>
    <row r="23" spans="1:5" x14ac:dyDescent="0.2">
      <c r="A23" s="4" t="s">
        <v>25</v>
      </c>
      <c r="B23" s="4" t="s">
        <v>40</v>
      </c>
      <c r="C23" s="4" t="s">
        <v>59</v>
      </c>
      <c r="D23">
        <v>2</v>
      </c>
      <c r="E23">
        <v>7</v>
      </c>
    </row>
    <row r="24" spans="1:5" x14ac:dyDescent="0.2">
      <c r="A24" s="4" t="s">
        <v>25</v>
      </c>
      <c r="B24" s="4" t="s">
        <v>38</v>
      </c>
      <c r="C24" s="4" t="s">
        <v>53</v>
      </c>
      <c r="D24">
        <v>1</v>
      </c>
      <c r="E24">
        <v>5</v>
      </c>
    </row>
    <row r="25" spans="1:5" x14ac:dyDescent="0.2">
      <c r="A25" s="4" t="s">
        <v>25</v>
      </c>
      <c r="B25" s="4" t="s">
        <v>38</v>
      </c>
      <c r="C25" s="4" t="s">
        <v>52</v>
      </c>
      <c r="D25">
        <v>3</v>
      </c>
      <c r="E25">
        <v>9</v>
      </c>
    </row>
    <row r="26" spans="1:5" x14ac:dyDescent="0.2">
      <c r="A26" s="4" t="s">
        <v>25</v>
      </c>
      <c r="B26" s="4" t="s">
        <v>48</v>
      </c>
      <c r="C26" s="4" t="s">
        <v>49</v>
      </c>
      <c r="D26">
        <v>2</v>
      </c>
      <c r="E26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D418-71CE-494A-A0CC-5AB469CBA3FC}">
  <dimension ref="A1:O40"/>
  <sheetViews>
    <sheetView tabSelected="1" topLeftCell="A11" zoomScale="115" zoomScaleNormal="115" workbookViewId="0">
      <selection activeCell="F25" sqref="F25"/>
    </sheetView>
  </sheetViews>
  <sheetFormatPr baseColWidth="10" defaultColWidth="8.83203125" defaultRowHeight="15" x14ac:dyDescent="0.2"/>
  <cols>
    <col min="1" max="1" width="12.5" customWidth="1"/>
    <col min="2" max="2" width="18.33203125" bestFit="1" customWidth="1"/>
    <col min="7" max="7" width="10.6640625" bestFit="1" customWidth="1"/>
    <col min="12" max="12" width="9.5" customWidth="1"/>
    <col min="13" max="13" width="17.5" bestFit="1" customWidth="1"/>
  </cols>
  <sheetData>
    <row r="1" spans="1:15" x14ac:dyDescent="0.2">
      <c r="A1" s="1" t="s">
        <v>4</v>
      </c>
      <c r="B1" s="1" t="s">
        <v>0</v>
      </c>
      <c r="C1" s="1" t="s">
        <v>1</v>
      </c>
      <c r="D1" s="1" t="s">
        <v>3</v>
      </c>
    </row>
    <row r="2" spans="1:15" x14ac:dyDescent="0.2">
      <c r="A2" t="s">
        <v>5</v>
      </c>
    </row>
    <row r="3" spans="1:15" x14ac:dyDescent="0.2">
      <c r="B3" t="s">
        <v>2</v>
      </c>
      <c r="C3">
        <v>2</v>
      </c>
      <c r="D3">
        <v>6</v>
      </c>
    </row>
    <row r="4" spans="1:15" x14ac:dyDescent="0.2">
      <c r="B4" t="s">
        <v>9</v>
      </c>
      <c r="C4">
        <v>2</v>
      </c>
      <c r="D4">
        <v>8</v>
      </c>
      <c r="L4" s="1" t="s">
        <v>35</v>
      </c>
    </row>
    <row r="5" spans="1:15" x14ac:dyDescent="0.2">
      <c r="B5" t="s">
        <v>32</v>
      </c>
      <c r="C5">
        <v>2</v>
      </c>
      <c r="D5">
        <v>12</v>
      </c>
      <c r="L5" s="5">
        <f>AVERAGE(Issues_1[Days])</f>
        <v>7.12</v>
      </c>
    </row>
    <row r="6" spans="1:15" x14ac:dyDescent="0.2">
      <c r="B6" t="s">
        <v>10</v>
      </c>
      <c r="C6">
        <v>1</v>
      </c>
      <c r="D6">
        <v>7</v>
      </c>
    </row>
    <row r="7" spans="1:15" x14ac:dyDescent="0.2">
      <c r="B7" t="s">
        <v>11</v>
      </c>
      <c r="C7">
        <v>1</v>
      </c>
      <c r="D7">
        <v>12</v>
      </c>
      <c r="L7" s="1" t="s">
        <v>34</v>
      </c>
    </row>
    <row r="8" spans="1:15" x14ac:dyDescent="0.2">
      <c r="A8" t="s">
        <v>30</v>
      </c>
      <c r="D8" s="2">
        <v>9</v>
      </c>
      <c r="L8" s="3">
        <f>COUNTIFS(Issues_1[Level], "&lt;3", Issues_1[Days], "&lt;5")</f>
        <v>6</v>
      </c>
    </row>
    <row r="10" spans="1:15" x14ac:dyDescent="0.2">
      <c r="A10" t="s">
        <v>6</v>
      </c>
    </row>
    <row r="11" spans="1:15" x14ac:dyDescent="0.2">
      <c r="B11" t="s">
        <v>12</v>
      </c>
      <c r="C11">
        <v>2</v>
      </c>
      <c r="D11">
        <v>11</v>
      </c>
      <c r="L11" s="1" t="s">
        <v>33</v>
      </c>
    </row>
    <row r="12" spans="1:15" x14ac:dyDescent="0.2">
      <c r="B12" t="s">
        <v>13</v>
      </c>
      <c r="C12">
        <v>3</v>
      </c>
      <c r="D12">
        <v>3</v>
      </c>
    </row>
    <row r="13" spans="1:15" x14ac:dyDescent="0.2">
      <c r="B13" t="s">
        <v>14</v>
      </c>
      <c r="C13">
        <v>3</v>
      </c>
      <c r="D13">
        <v>4</v>
      </c>
      <c r="L13" t="s">
        <v>25</v>
      </c>
    </row>
    <row r="14" spans="1:15" x14ac:dyDescent="0.2">
      <c r="B14" t="s">
        <v>31</v>
      </c>
      <c r="C14">
        <v>2</v>
      </c>
      <c r="D14">
        <v>15</v>
      </c>
      <c r="M14" t="s">
        <v>26</v>
      </c>
      <c r="N14">
        <v>1</v>
      </c>
      <c r="O14">
        <v>2</v>
      </c>
    </row>
    <row r="15" spans="1:15" x14ac:dyDescent="0.2">
      <c r="B15" t="s">
        <v>15</v>
      </c>
      <c r="C15">
        <v>2</v>
      </c>
      <c r="D15">
        <v>6</v>
      </c>
      <c r="M15" t="s">
        <v>27</v>
      </c>
      <c r="N15">
        <v>1</v>
      </c>
      <c r="O15">
        <v>11</v>
      </c>
    </row>
    <row r="16" spans="1:15" x14ac:dyDescent="0.2">
      <c r="A16" t="s">
        <v>30</v>
      </c>
      <c r="D16" s="2">
        <v>7.8</v>
      </c>
      <c r="M16" t="s">
        <v>28</v>
      </c>
      <c r="N16">
        <v>2</v>
      </c>
      <c r="O16">
        <v>7</v>
      </c>
    </row>
    <row r="17" spans="1:15" x14ac:dyDescent="0.2">
      <c r="M17" t="s">
        <v>20</v>
      </c>
      <c r="N17">
        <v>1</v>
      </c>
      <c r="O17">
        <v>5</v>
      </c>
    </row>
    <row r="18" spans="1:15" x14ac:dyDescent="0.2">
      <c r="A18" t="s">
        <v>7</v>
      </c>
      <c r="M18" t="s">
        <v>19</v>
      </c>
      <c r="N18">
        <v>3</v>
      </c>
      <c r="O18">
        <v>9</v>
      </c>
    </row>
    <row r="19" spans="1:15" x14ac:dyDescent="0.2">
      <c r="B19" t="s">
        <v>16</v>
      </c>
      <c r="C19">
        <v>1</v>
      </c>
      <c r="D19">
        <v>13</v>
      </c>
      <c r="M19" t="s">
        <v>29</v>
      </c>
      <c r="N19">
        <v>2</v>
      </c>
      <c r="O19">
        <v>3</v>
      </c>
    </row>
    <row r="20" spans="1:15" x14ac:dyDescent="0.2">
      <c r="B20" t="s">
        <v>17</v>
      </c>
      <c r="C20">
        <v>1</v>
      </c>
      <c r="D20">
        <v>2</v>
      </c>
      <c r="L20" t="s">
        <v>30</v>
      </c>
      <c r="O20" s="2">
        <v>6.166666666666667</v>
      </c>
    </row>
    <row r="21" spans="1:15" x14ac:dyDescent="0.2">
      <c r="B21" t="s">
        <v>18</v>
      </c>
      <c r="C21">
        <v>2</v>
      </c>
      <c r="D21">
        <v>3</v>
      </c>
    </row>
    <row r="22" spans="1:15" x14ac:dyDescent="0.2">
      <c r="B22" t="s">
        <v>19</v>
      </c>
      <c r="C22">
        <v>3</v>
      </c>
      <c r="D22">
        <v>9</v>
      </c>
    </row>
    <row r="23" spans="1:15" x14ac:dyDescent="0.2">
      <c r="B23" t="s">
        <v>20</v>
      </c>
      <c r="C23">
        <v>2</v>
      </c>
      <c r="D23">
        <v>2</v>
      </c>
    </row>
    <row r="24" spans="1:15" x14ac:dyDescent="0.2">
      <c r="A24" t="s">
        <v>30</v>
      </c>
      <c r="D24" s="2">
        <v>5.8</v>
      </c>
    </row>
    <row r="26" spans="1:15" x14ac:dyDescent="0.2">
      <c r="A26" t="s">
        <v>8</v>
      </c>
    </row>
    <row r="27" spans="1:15" x14ac:dyDescent="0.2">
      <c r="B27" t="s">
        <v>21</v>
      </c>
      <c r="C27">
        <v>2</v>
      </c>
      <c r="D27">
        <v>10</v>
      </c>
    </row>
    <row r="28" spans="1:15" x14ac:dyDescent="0.2">
      <c r="B28" t="s">
        <v>22</v>
      </c>
      <c r="C28">
        <v>2</v>
      </c>
      <c r="D28">
        <v>9</v>
      </c>
    </row>
    <row r="29" spans="1:15" x14ac:dyDescent="0.2">
      <c r="B29" t="s">
        <v>23</v>
      </c>
      <c r="C29">
        <v>2</v>
      </c>
      <c r="D29">
        <v>4</v>
      </c>
    </row>
    <row r="30" spans="1:15" x14ac:dyDescent="0.2">
      <c r="B30" t="s">
        <v>24</v>
      </c>
      <c r="C30">
        <v>3</v>
      </c>
      <c r="D30">
        <v>5</v>
      </c>
    </row>
    <row r="31" spans="1:15" x14ac:dyDescent="0.2">
      <c r="A31" t="s">
        <v>30</v>
      </c>
      <c r="D31" s="2">
        <v>7</v>
      </c>
    </row>
    <row r="33" spans="1:4" x14ac:dyDescent="0.2">
      <c r="A33" t="s">
        <v>25</v>
      </c>
    </row>
    <row r="34" spans="1:4" x14ac:dyDescent="0.2">
      <c r="B34" t="s">
        <v>26</v>
      </c>
      <c r="C34">
        <v>1</v>
      </c>
      <c r="D34">
        <v>2</v>
      </c>
    </row>
    <row r="35" spans="1:4" x14ac:dyDescent="0.2">
      <c r="B35" t="s">
        <v>27</v>
      </c>
      <c r="C35">
        <v>1</v>
      </c>
      <c r="D35">
        <v>11</v>
      </c>
    </row>
    <row r="36" spans="1:4" x14ac:dyDescent="0.2">
      <c r="B36" t="s">
        <v>28</v>
      </c>
      <c r="C36">
        <v>2</v>
      </c>
      <c r="D36">
        <v>7</v>
      </c>
    </row>
    <row r="37" spans="1:4" x14ac:dyDescent="0.2">
      <c r="B37" t="s">
        <v>20</v>
      </c>
      <c r="C37">
        <v>1</v>
      </c>
      <c r="D37">
        <v>5</v>
      </c>
    </row>
    <row r="38" spans="1:4" x14ac:dyDescent="0.2">
      <c r="B38" t="s">
        <v>19</v>
      </c>
      <c r="C38">
        <v>3</v>
      </c>
      <c r="D38">
        <v>9</v>
      </c>
    </row>
    <row r="39" spans="1:4" x14ac:dyDescent="0.2">
      <c r="B39" t="s">
        <v>29</v>
      </c>
      <c r="C39">
        <v>2</v>
      </c>
      <c r="D39">
        <v>3</v>
      </c>
    </row>
    <row r="40" spans="1:4" x14ac:dyDescent="0.2">
      <c r="A40" t="s">
        <v>30</v>
      </c>
      <c r="D40" s="2">
        <v>6.166666666666667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291255-DD38-4544-A770-C9AC49369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Wideza Denis</cp:lastModifiedBy>
  <dcterms:created xsi:type="dcterms:W3CDTF">2020-07-12T18:11:27Z</dcterms:created>
  <dcterms:modified xsi:type="dcterms:W3CDTF">2026-03-31T19:35:08Z</dcterms:modified>
</cp:coreProperties>
</file>